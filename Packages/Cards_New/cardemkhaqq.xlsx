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5315" windowHeight="10545"/>
  </bookViews>
  <sheets>
    <sheet name="CARDS" sheetId="1" r:id="rId1"/>
    <sheet name="Sheet2" sheetId="2" r:id="rId2"/>
    <sheet name="Sheet3" sheetId="3" r:id="rId3"/>
  </sheets>
  <definedNames>
    <definedName name="_xlnm._FilterDatabase" localSheetId="0" hidden="1">CARDS!$A$1:$G$1</definedName>
    <definedName name="_xlnm._FilterDatabase" localSheetId="1" hidden="1">Sheet2!$A$1:$B$20</definedName>
  </definedNames>
  <calcPr calcId="144525"/>
</workbook>
</file>

<file path=xl/calcChain.xml><?xml version="1.0" encoding="utf-8"?>
<calcChain xmlns="http://schemas.openxmlformats.org/spreadsheetml/2006/main">
  <c r="G3" i="3" l="1"/>
  <c r="G4" i="3"/>
  <c r="G11" i="3"/>
  <c r="G12" i="3"/>
  <c r="G13" i="3"/>
  <c r="G14" i="3"/>
  <c r="G15" i="3"/>
  <c r="G16" i="3"/>
  <c r="G2" i="3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</calcChain>
</file>

<file path=xl/sharedStrings.xml><?xml version="1.0" encoding="utf-8"?>
<sst xmlns="http://schemas.openxmlformats.org/spreadsheetml/2006/main" count="120" uniqueCount="52">
  <si>
    <t>AZN</t>
  </si>
  <si>
    <t>d</t>
  </si>
  <si>
    <t>AZ49TURA45170010404501200944</t>
  </si>
  <si>
    <t>AZ64TURA45170010404200200944</t>
  </si>
  <si>
    <t>AZ72TURA45170010404101100944</t>
  </si>
  <si>
    <t>AZ88TURA45170010404300600944</t>
  </si>
  <si>
    <t>AZ80TURA45170010404700400944</t>
  </si>
  <si>
    <t>AZ02TURA45170010404800900944</t>
  </si>
  <si>
    <t>AZ33TURA45170010405000100944</t>
  </si>
  <si>
    <t>AZ84TURA25019000050200300944</t>
  </si>
  <si>
    <t>AZ22TURA90080000050200900944</t>
  </si>
  <si>
    <t>AZ62TURA90080000050200100944</t>
  </si>
  <si>
    <t>AZ32TURA90080000050200700944</t>
  </si>
  <si>
    <t>Optik şəbəkə üçün Dekabr 2018</t>
  </si>
  <si>
    <t>Bankomat üçün rabitə xidməti-Baş İdarə-Azərikard Prosessinq Mərkəzi(Teleskop sistemi)-Dekabr 2018</t>
  </si>
  <si>
    <t>TuranBank ASC-nin Baş ofisi ilə Sumqayıt TKQ arasında 10 mbits sürətli rabitə xəttinin aylıq xidmət haqqı ödənilir(Dekabr 2018).</t>
  </si>
  <si>
    <t>AZ47TURA90080000050200400944</t>
  </si>
  <si>
    <t>Sahil</t>
  </si>
  <si>
    <t>Bakı</t>
  </si>
  <si>
    <t>Binəqədi</t>
  </si>
  <si>
    <t>Nur</t>
  </si>
  <si>
    <t>Yasamal</t>
  </si>
  <si>
    <t>Nəsimi</t>
  </si>
  <si>
    <t>Baş ofsi</t>
  </si>
  <si>
    <t>05.02.2019-cu il tarixli 022600 saylı EQ əsasən kabel-kanalizasiya,internet və telefon abunə x/haqqı - Fevral-2019 Ş/H 4484</t>
  </si>
  <si>
    <t xml:space="preserve"> Xohks kocurme - BAKI TELEFON RABITESI MMC-TuranBank ASC-07.01.2019-CU IL TAR.945000 SAYLI EQ ESASEN KABEL-KANALIZASIYA INTERNET VE TELEFON ABUNE X/HAQQI -YANVAR 2019 S/H 4484</t>
  </si>
  <si>
    <t>AZ80TURA25123000050201000944</t>
  </si>
  <si>
    <t>Sahil filialının 5643475, 5643476, 5643477 və 5643478 nömrəli telefonlarının üzrə Mart ayının abunə haqqı</t>
  </si>
  <si>
    <t>Bakı filialının telefon nömrəli üzrə Mart ayı üçün abunə haqqı (4935469, 4935472, 4935475, 4937271, 4980317)</t>
  </si>
  <si>
    <t>Sahil filialının fiber optik rabitə ilə əlaqədar Mart ayı üzrə kabel-kanalizasiya qurğularından istifadə haqqı</t>
  </si>
  <si>
    <t>5960638,5960624,5962641 nömrəli telefonlarının Mart ayı üçün abunə haqqı</t>
  </si>
  <si>
    <t>5380918,5106037,5106038,5106039, 5380981 nömrəli telefonlarının Mart ayı üçün abunə haqqı</t>
  </si>
  <si>
    <t>Mart ayı üçün Internet xidməti YASAMAL  TQ (sürət 3072 Kbit/s)</t>
  </si>
  <si>
    <t>Yasama filialının fiber optik rabitə ilə əlaqədar Mart ayı üçün kabel-kanalizasiya qurğularından istifadə haqqı</t>
  </si>
  <si>
    <t>Mart ayı üçün abunə haqqı Ş/H 4484-Yasamal TQ</t>
  </si>
  <si>
    <t>05.03.2019-cu il tarixli 249004 saylı EQ əsasən Mart ayı üçün fiber-optik kabellərə texniki xidmət haqqı _(Binəqədi filialı -649 metr)</t>
  </si>
  <si>
    <t>05.03.2019-cu il tarixli 249004 saylı EQ əsasən Mart ayı üçün fiber-optik kabellərə texniki xidmət haqqı _(Sahil filialı -880 metr)</t>
  </si>
  <si>
    <t>05.03.2019-cu il tarixli 249004 saylı EQ əsasən Mart ayı üçün fiber-optik kabellərə texniki xidmət haqqı_(Nur filialı -1499 metr)</t>
  </si>
  <si>
    <t>05.03.2019-cu il tarixli 249004 saylı EQ əsasən Mart ayı üçün fiber-optik kabellərə texniki xidmət haqqı_(Yasamal filialı -1755 metr)</t>
  </si>
  <si>
    <t>05.03.2019-cu il tarixli 249004 saylı EQ əsasən Mart ayı üçün fiber-optik kabellərə texniki xidmət haqqı _(Bakı filialı -1993 metr)</t>
  </si>
  <si>
    <t>05.03.2019-cu il tarixli 249004 saylı EQ əsasən Mart ayı üçün fiber-optik kabellərə texniki xidmət haqqı_(Nəsimi filialı -2165 metr)</t>
  </si>
  <si>
    <t>S.Dadaşov 84/2 EATS-538/539-dakı avadanlıq arasında rabitə üç.kabel-kanalizasiya xid.haq.Mart ayı 2019</t>
  </si>
  <si>
    <t xml:space="preserve">Ìöÿññèñÿ </t>
  </si>
  <si>
    <t xml:space="preserve">Òàğèõ  </t>
  </si>
  <si>
    <t xml:space="preserve">Òÿéèíàò  </t>
  </si>
  <si>
    <t>Optik ??b?k? ???n Sentyabr 2019</t>
  </si>
  <si>
    <t>Ñûğà ¹</t>
  </si>
  <si>
    <t>Àäû Ñîéàäû</t>
  </si>
  <si>
    <t>Kråáiò ùåñàáû</t>
  </si>
  <si>
    <t>Ìÿáëÿü</t>
  </si>
  <si>
    <t>Âàëéóòà</t>
  </si>
  <si>
    <t>Äåáåò ùåñàáû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</si>
</sst>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#,##0.00"/>
  </numFmts>
  <fonts count="7">
    <font>
      <sz val="11"/>
      <color theme="1"/>
      <name val="Calibri"/>
      <family val="2"/>
      <scheme val="minor"/>
    </font>
    <font>
      <b/>
      <sz val="11"/>
      <color theme="1"/>
      <name val="Arial AzLat"/>
      <family val="2"/>
      <charset val="204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204"/>
    </font>
    <font>
      <sz val="11"/>
      <color theme="1"/>
      <name val="Arial AzLat"/>
      <family val="2"/>
      <charset val="204"/>
    </font>
    <font>
      <sz val="10"/>
      <name val="Arial AzLat"/>
      <family val="2"/>
      <charset val="204"/>
    </font>
    <font>
      <sz val="10"/>
      <color rgb="FFFF0000"/>
      <name val="Arial AzLat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0" xfId="0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5" fillId="0" borderId="1" xfId="0" applyFont="1" applyFill="1" applyBorder="1"/>
    <xf numFmtId="0" fontId="6" fillId="0" borderId="0" xfId="0" applyFont="1"/>
  </cellXfs>
  <cellStyles count="20">
    <cellStyle name="Normal" xfId="0" builtinId="0"/>
    <cellStyle name="Обычный 10" xfId="11"/>
    <cellStyle name="Обычный 11" xfId="2"/>
    <cellStyle name="Обычный 12" xfId="12"/>
    <cellStyle name="Обычный 13" xfId="13"/>
    <cellStyle name="Обычный 14" xfId="14"/>
    <cellStyle name="Обычный 15" xfId="15"/>
    <cellStyle name="Обычный 16" xfId="16"/>
    <cellStyle name="Обычный 17" xfId="17"/>
    <cellStyle name="Обычный 18" xfId="18"/>
    <cellStyle name="Обычный 19" xfId="19"/>
    <cellStyle name="Обычный 2" xfId="1"/>
    <cellStyle name="Обычный 3" xfId="5"/>
    <cellStyle name="Обычный 4" xfId="6"/>
    <cellStyle name="Обычный 5" xfId="7"/>
    <cellStyle name="Обычный 6" xfId="8"/>
    <cellStyle name="Обычный 7" xfId="3"/>
    <cellStyle name="Обычный 8" xfId="9"/>
    <cellStyle name="Обычный 9" xfId="10"/>
    <cellStyle name="Финансовый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Normal="100" workbookViewId="0">
      <selection activeCell="F23" sqref="F23"/>
    </sheetView>
  </sheetViews>
  <sheetFormatPr defaultRowHeight="15"/>
  <cols>
    <col min="1" max="1" width="10.7109375" customWidth="1"/>
    <col min="2" max="4" width="20.7109375" customWidth="1"/>
    <col min="5" max="5" width="10.7109375" customWidth="1"/>
    <col min="6" max="6" width="30.5703125" customWidth="1"/>
    <col min="7" max="16384" width="9.140625" style="5"/>
  </cols>
  <sheetData>
    <row r="1" spans="1:7" customFormat="1">
      <c r="A1" s="1"/>
      <c r="B1" s="1"/>
      <c r="C1" s="3"/>
      <c r="D1" s="3"/>
      <c r="E1" s="1"/>
      <c r="F1" s="1"/>
    </row>
    <row r="2" spans="1:7" customFormat="1">
      <c r="A2" s="3"/>
      <c r="B2" s="3"/>
      <c r="C2" s="2"/>
      <c r="D2" s="4"/>
      <c r="E2" s="3"/>
      <c r="F2" s="2"/>
    </row>
    <row r="3" spans="1:7" customFormat="1">
      <c r="A3" s="3"/>
      <c r="B3" s="3" t="s">
        <v>42</v>
      </c>
      <c r="C3" s="2"/>
      <c r="D3" s="4"/>
      <c r="E3" s="3"/>
      <c r="F3" s="2"/>
    </row>
    <row r="4" spans="1:7" customFormat="1">
      <c r="A4" s="3"/>
      <c r="B4" s="3"/>
      <c r="C4" s="2"/>
      <c r="D4" s="4"/>
      <c r="E4" s="3"/>
      <c r="F4" s="2"/>
    </row>
    <row r="5" spans="1:7" customFormat="1">
      <c r="A5" s="3"/>
      <c r="B5" s="3" t="s">
        <v>43</v>
      </c>
      <c r="C5" s="2">
        <v>43714</v>
      </c>
      <c r="D5" s="4"/>
      <c r="E5" s="3"/>
      <c r="F5" s="2"/>
    </row>
    <row r="6" spans="1:7" customFormat="1">
      <c r="A6" s="3"/>
      <c r="B6" s="3" t="s">
        <v>44</v>
      </c>
      <c r="C6" s="2" t="s">
        <v>45</v>
      </c>
      <c r="D6" s="4"/>
      <c r="E6" s="3"/>
      <c r="F6" s="2"/>
    </row>
    <row r="7" spans="1:7" customFormat="1">
      <c r="A7" s="3"/>
      <c r="B7" s="3"/>
      <c r="C7" s="2"/>
      <c r="D7" s="4"/>
      <c r="E7" s="3"/>
      <c r="F7" s="2"/>
    </row>
    <row r="8" spans="1:7" customFormat="1">
      <c r="A8" s="3"/>
      <c r="B8" s="3"/>
      <c r="C8" s="2"/>
      <c r="D8" s="4"/>
      <c r="E8" s="3"/>
      <c r="F8" s="2"/>
    </row>
    <row r="9" spans="1:7" customFormat="1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s="5"/>
    </row>
    <row r="10" spans="1:7" customFormat="1">
      <c r="A10">
        <v>1</v>
      </c>
      <c r="B10" t="s">
        <v>1</v>
      </c>
      <c r="C10" t="s">
        <v>9</v>
      </c>
      <c r="D10">
        <v>118</v>
      </c>
      <c r="E10" t="s">
        <v>0</v>
      </c>
      <c r="F10" t="s">
        <v>12</v>
      </c>
      <c r="G10" s="5"/>
    </row>
    <row r="11" spans="1:7" customFormat="1">
      <c r="A11">
        <v>2</v>
      </c>
      <c r="B11" t="s">
        <v>1</v>
      </c>
      <c r="C11" t="s">
        <v>9</v>
      </c>
      <c r="D11">
        <v>118</v>
      </c>
      <c r="E11" t="s">
        <v>0</v>
      </c>
      <c r="F11" t="s">
        <v>2</v>
      </c>
      <c r="G11" s="5"/>
    </row>
    <row r="12" spans="1:7" customFormat="1">
      <c r="A12">
        <v>3</v>
      </c>
      <c r="B12" t="s">
        <v>1</v>
      </c>
      <c r="C12" t="s">
        <v>9</v>
      </c>
      <c r="D12">
        <v>154.61000000000001</v>
      </c>
      <c r="E12" t="s">
        <v>0</v>
      </c>
      <c r="F12" t="s">
        <v>11</v>
      </c>
      <c r="G12" s="5"/>
    </row>
    <row r="13" spans="1:7" customFormat="1">
      <c r="A13">
        <v>4</v>
      </c>
      <c r="B13" t="s">
        <v>1</v>
      </c>
      <c r="C13" t="s">
        <v>9</v>
      </c>
      <c r="D13">
        <v>306.8</v>
      </c>
      <c r="E13" t="s">
        <v>0</v>
      </c>
      <c r="F13" t="s">
        <v>10</v>
      </c>
      <c r="G13" s="5"/>
    </row>
    <row r="14" spans="1:7" customFormat="1">
      <c r="A14">
        <v>5</v>
      </c>
      <c r="B14" t="s">
        <v>1</v>
      </c>
      <c r="C14" t="s">
        <v>9</v>
      </c>
      <c r="D14">
        <v>342.2</v>
      </c>
      <c r="E14" t="s">
        <v>0</v>
      </c>
      <c r="F14" t="s">
        <v>3</v>
      </c>
      <c r="G14" s="5"/>
    </row>
    <row r="15" spans="1:7" customFormat="1">
      <c r="A15">
        <v>6</v>
      </c>
      <c r="B15" t="s">
        <v>1</v>
      </c>
      <c r="C15" t="s">
        <v>9</v>
      </c>
      <c r="D15">
        <v>354</v>
      </c>
      <c r="E15" t="s">
        <v>0</v>
      </c>
      <c r="F15" t="s">
        <v>4</v>
      </c>
      <c r="G15" s="5"/>
    </row>
    <row r="16" spans="1:7" customFormat="1">
      <c r="A16">
        <v>7</v>
      </c>
      <c r="B16" t="s">
        <v>1</v>
      </c>
      <c r="C16" t="s">
        <v>9</v>
      </c>
      <c r="D16">
        <v>354</v>
      </c>
      <c r="E16" t="s">
        <v>0</v>
      </c>
      <c r="F16" t="s">
        <v>5</v>
      </c>
      <c r="G16" s="5"/>
    </row>
  </sheetData>
  <autoFilter ref="A1:G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0"/>
  <sheetViews>
    <sheetView workbookViewId="0">
      <selection activeCell="B26" sqref="A24:B26"/>
    </sheetView>
  </sheetViews>
  <sheetFormatPr defaultRowHeight="15"/>
  <cols>
    <col min="2" max="2" width="31.28515625" customWidth="1"/>
  </cols>
  <sheetData>
    <row r="1" spans="1:2">
      <c r="A1" s="7">
        <v>118</v>
      </c>
      <c r="B1" s="6" t="s">
        <v>13</v>
      </c>
    </row>
    <row r="2" spans="1:2" hidden="1">
      <c r="A2" s="7">
        <v>118</v>
      </c>
      <c r="B2" s="6" t="s">
        <v>13</v>
      </c>
    </row>
    <row r="3" spans="1:2">
      <c r="A3" s="7">
        <v>154.61000000000001</v>
      </c>
      <c r="B3" s="6" t="s">
        <v>14</v>
      </c>
    </row>
    <row r="4" spans="1:2">
      <c r="A4" s="7">
        <v>306.8</v>
      </c>
      <c r="B4" s="6" t="s">
        <v>14</v>
      </c>
    </row>
    <row r="5" spans="1:2">
      <c r="A5" s="7">
        <v>342.2</v>
      </c>
      <c r="B5" s="6" t="s">
        <v>15</v>
      </c>
    </row>
    <row r="6" spans="1:2" hidden="1">
      <c r="A6" s="7">
        <v>354</v>
      </c>
      <c r="B6" s="6" t="s">
        <v>13</v>
      </c>
    </row>
    <row r="7" spans="1:2" hidden="1">
      <c r="A7" s="7">
        <v>354</v>
      </c>
      <c r="B7" s="6" t="s">
        <v>13</v>
      </c>
    </row>
    <row r="8" spans="1:2" hidden="1">
      <c r="A8" s="7">
        <v>354</v>
      </c>
      <c r="B8" s="6" t="s">
        <v>13</v>
      </c>
    </row>
    <row r="9" spans="1:2" hidden="1">
      <c r="A9" s="7">
        <v>354</v>
      </c>
      <c r="B9" s="6" t="s">
        <v>13</v>
      </c>
    </row>
    <row r="10" spans="1:2" hidden="1">
      <c r="A10" s="7">
        <v>354</v>
      </c>
      <c r="B10" s="6" t="s">
        <v>13</v>
      </c>
    </row>
    <row r="11" spans="1:2" hidden="1">
      <c r="A11" s="7">
        <v>354</v>
      </c>
      <c r="B11" s="6" t="s">
        <v>13</v>
      </c>
    </row>
    <row r="12" spans="1:2" hidden="1">
      <c r="A12" s="7">
        <v>450</v>
      </c>
      <c r="B12" s="6" t="s">
        <v>13</v>
      </c>
    </row>
    <row r="13" spans="1:2" hidden="1">
      <c r="A13" s="7">
        <v>450</v>
      </c>
      <c r="B13" s="6" t="s">
        <v>13</v>
      </c>
    </row>
    <row r="14" spans="1:2" hidden="1">
      <c r="A14" s="7">
        <v>450</v>
      </c>
      <c r="B14" s="6" t="s">
        <v>13</v>
      </c>
    </row>
    <row r="15" spans="1:2" hidden="1">
      <c r="A15" s="7">
        <v>450</v>
      </c>
      <c r="B15" s="6" t="s">
        <v>13</v>
      </c>
    </row>
    <row r="16" spans="1:2" hidden="1">
      <c r="A16" s="7">
        <v>450</v>
      </c>
      <c r="B16" s="6" t="s">
        <v>13</v>
      </c>
    </row>
    <row r="17" spans="1:2" hidden="1">
      <c r="A17" s="7">
        <v>450</v>
      </c>
      <c r="B17" s="6" t="s">
        <v>13</v>
      </c>
    </row>
    <row r="18" spans="1:2" hidden="1">
      <c r="A18" s="7">
        <v>450</v>
      </c>
      <c r="B18" s="6" t="s">
        <v>13</v>
      </c>
    </row>
    <row r="19" spans="1:2">
      <c r="A19" s="7">
        <v>750</v>
      </c>
      <c r="B19" s="6" t="s">
        <v>15</v>
      </c>
    </row>
    <row r="20" spans="1:2">
      <c r="A20" s="7">
        <v>4000.2</v>
      </c>
      <c r="B20" s="6" t="s">
        <v>15</v>
      </c>
    </row>
  </sheetData>
  <autoFilter ref="A1:B20">
    <filterColumn colId="1">
      <filters>
        <filter val="Bankomat üçün rabitə xidməti-Baş İdarə-Azərikard Prosessinq Mərkəzi(Teleskop sistemi)-Dekabr 2018"/>
        <filter val="TuranBank ASC-nin Baş ofisi ilə Sumqayıt TKQ arasında 10 mbits sürətli rabitə xəttinin aylıq xidmət haqqı ödənilir(Dekabr 2018)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9"/>
  <sheetViews>
    <sheetView topLeftCell="B1" workbookViewId="0">
      <selection activeCell="H7" sqref="H7"/>
    </sheetView>
  </sheetViews>
  <sheetFormatPr defaultRowHeight="15"/>
  <cols>
    <col min="3" max="4" width="30.85546875" bestFit="1" customWidth="1"/>
    <col min="5" max="5" width="9.140625" hidden="1" customWidth="1"/>
    <col min="6" max="6" width="9.140625" customWidth="1"/>
    <col min="7" max="7" width="0" hidden="1" customWidth="1"/>
    <col min="8" max="8" width="96.85546875" bestFit="1" customWidth="1"/>
  </cols>
  <sheetData>
    <row r="2" spans="3:9">
      <c r="C2" s="8" t="s">
        <v>4</v>
      </c>
      <c r="D2" s="9" t="s">
        <v>26</v>
      </c>
      <c r="E2" s="8">
        <v>2</v>
      </c>
      <c r="F2" s="8">
        <v>40.4</v>
      </c>
      <c r="G2" s="8">
        <f>E2*F2:F2</f>
        <v>80.8</v>
      </c>
      <c r="H2" s="8" t="s">
        <v>27</v>
      </c>
      <c r="I2" t="s">
        <v>17</v>
      </c>
    </row>
    <row r="3" spans="3:9">
      <c r="C3" s="8" t="s">
        <v>7</v>
      </c>
      <c r="D3" s="9" t="s">
        <v>26</v>
      </c>
      <c r="E3" s="8">
        <v>2</v>
      </c>
      <c r="F3" s="8">
        <v>60.6</v>
      </c>
      <c r="G3" s="8">
        <f t="shared" ref="G3:G16" si="0">E3*F3:F3</f>
        <v>121.2</v>
      </c>
      <c r="H3" s="8" t="s">
        <v>28</v>
      </c>
      <c r="I3" t="s">
        <v>18</v>
      </c>
    </row>
    <row r="4" spans="3:9">
      <c r="C4" s="8" t="s">
        <v>4</v>
      </c>
      <c r="D4" s="9" t="s">
        <v>26</v>
      </c>
      <c r="E4" s="8">
        <v>2</v>
      </c>
      <c r="F4" s="8">
        <v>116</v>
      </c>
      <c r="G4" s="8">
        <f t="shared" si="0"/>
        <v>232</v>
      </c>
      <c r="H4" s="8" t="s">
        <v>29</v>
      </c>
      <c r="I4" t="s">
        <v>17</v>
      </c>
    </row>
    <row r="5" spans="3:9">
      <c r="C5" s="8" t="s">
        <v>8</v>
      </c>
      <c r="D5" s="9" t="s">
        <v>26</v>
      </c>
      <c r="E5" s="8">
        <v>2</v>
      </c>
      <c r="F5" s="8">
        <f>25.97</f>
        <v>25.97</v>
      </c>
      <c r="G5" s="8">
        <f t="shared" si="0"/>
        <v>51.94</v>
      </c>
      <c r="H5" s="8" t="s">
        <v>35</v>
      </c>
      <c r="I5" t="s">
        <v>19</v>
      </c>
    </row>
    <row r="6" spans="3:9">
      <c r="C6" s="8" t="s">
        <v>4</v>
      </c>
      <c r="D6" s="9" t="s">
        <v>26</v>
      </c>
      <c r="E6" s="8">
        <v>2</v>
      </c>
      <c r="F6" s="8">
        <f>35.2</f>
        <v>35.200000000000003</v>
      </c>
      <c r="G6" s="8">
        <f t="shared" si="0"/>
        <v>70.400000000000006</v>
      </c>
      <c r="H6" s="8" t="s">
        <v>36</v>
      </c>
      <c r="I6" t="s">
        <v>17</v>
      </c>
    </row>
    <row r="7" spans="3:9">
      <c r="C7" s="8" t="s">
        <v>6</v>
      </c>
      <c r="D7" s="9" t="s">
        <v>26</v>
      </c>
      <c r="E7" s="8">
        <v>2</v>
      </c>
      <c r="F7" s="8">
        <f>59.95</f>
        <v>59.95</v>
      </c>
      <c r="G7" s="8">
        <f t="shared" si="0"/>
        <v>119.9</v>
      </c>
      <c r="H7" s="8" t="s">
        <v>37</v>
      </c>
      <c r="I7" t="s">
        <v>20</v>
      </c>
    </row>
    <row r="8" spans="3:9">
      <c r="C8" s="8" t="s">
        <v>5</v>
      </c>
      <c r="D8" s="9" t="s">
        <v>26</v>
      </c>
      <c r="E8" s="8">
        <v>2</v>
      </c>
      <c r="F8" s="8">
        <f>70.2</f>
        <v>70.2</v>
      </c>
      <c r="G8" s="8">
        <f t="shared" si="0"/>
        <v>140.4</v>
      </c>
      <c r="H8" s="8" t="s">
        <v>38</v>
      </c>
      <c r="I8" t="s">
        <v>21</v>
      </c>
    </row>
    <row r="9" spans="3:9">
      <c r="C9" s="8" t="s">
        <v>7</v>
      </c>
      <c r="D9" s="9" t="s">
        <v>26</v>
      </c>
      <c r="E9" s="8">
        <v>2</v>
      </c>
      <c r="F9" s="8">
        <f>79.71</f>
        <v>79.709999999999994</v>
      </c>
      <c r="G9" s="8">
        <f t="shared" si="0"/>
        <v>159.41999999999999</v>
      </c>
      <c r="H9" s="8" t="s">
        <v>39</v>
      </c>
      <c r="I9" t="s">
        <v>18</v>
      </c>
    </row>
    <row r="10" spans="3:9">
      <c r="C10" s="8" t="s">
        <v>2</v>
      </c>
      <c r="D10" s="9" t="s">
        <v>26</v>
      </c>
      <c r="E10" s="8">
        <v>2</v>
      </c>
      <c r="F10" s="8">
        <f>86.6</f>
        <v>86.6</v>
      </c>
      <c r="G10" s="8">
        <f t="shared" si="0"/>
        <v>173.2</v>
      </c>
      <c r="H10" s="8" t="s">
        <v>40</v>
      </c>
      <c r="I10" t="s">
        <v>22</v>
      </c>
    </row>
    <row r="11" spans="3:9">
      <c r="C11" s="8" t="s">
        <v>5</v>
      </c>
      <c r="D11" s="9" t="s">
        <v>26</v>
      </c>
      <c r="E11" s="8">
        <v>2</v>
      </c>
      <c r="F11" s="8">
        <v>32.200000000000003</v>
      </c>
      <c r="G11" s="8">
        <f t="shared" si="0"/>
        <v>64.400000000000006</v>
      </c>
      <c r="H11" s="8" t="s">
        <v>30</v>
      </c>
      <c r="I11" t="s">
        <v>21</v>
      </c>
    </row>
    <row r="12" spans="3:9">
      <c r="C12" s="8" t="s">
        <v>2</v>
      </c>
      <c r="D12" s="9" t="s">
        <v>26</v>
      </c>
      <c r="E12" s="8">
        <v>2</v>
      </c>
      <c r="F12" s="8">
        <v>39.4</v>
      </c>
      <c r="G12" s="8">
        <f t="shared" si="0"/>
        <v>78.8</v>
      </c>
      <c r="H12" s="8" t="s">
        <v>31</v>
      </c>
      <c r="I12" t="s">
        <v>22</v>
      </c>
    </row>
    <row r="13" spans="3:9">
      <c r="C13" s="8" t="s">
        <v>10</v>
      </c>
      <c r="D13" s="9" t="s">
        <v>26</v>
      </c>
      <c r="E13" s="8">
        <v>2</v>
      </c>
      <c r="F13" s="8">
        <v>60</v>
      </c>
      <c r="G13" s="8">
        <f t="shared" si="0"/>
        <v>120</v>
      </c>
      <c r="H13" s="8" t="s">
        <v>32</v>
      </c>
      <c r="I13" t="s">
        <v>23</v>
      </c>
    </row>
    <row r="14" spans="3:9">
      <c r="C14" s="8" t="s">
        <v>5</v>
      </c>
      <c r="D14" s="9" t="s">
        <v>26</v>
      </c>
      <c r="E14" s="8">
        <v>2</v>
      </c>
      <c r="F14" s="8">
        <v>166.84</v>
      </c>
      <c r="G14" s="8">
        <f t="shared" si="0"/>
        <v>333.68</v>
      </c>
      <c r="H14" s="8" t="s">
        <v>33</v>
      </c>
      <c r="I14" t="s">
        <v>21</v>
      </c>
    </row>
    <row r="15" spans="3:9">
      <c r="C15" s="8" t="s">
        <v>2</v>
      </c>
      <c r="D15" s="9" t="s">
        <v>26</v>
      </c>
      <c r="E15" s="8">
        <v>2</v>
      </c>
      <c r="F15" s="8">
        <v>252.58</v>
      </c>
      <c r="G15" s="8">
        <f t="shared" si="0"/>
        <v>505.16</v>
      </c>
      <c r="H15" s="8" t="s">
        <v>41</v>
      </c>
      <c r="I15" t="s">
        <v>22</v>
      </c>
    </row>
    <row r="16" spans="3:9">
      <c r="C16" s="8" t="s">
        <v>16</v>
      </c>
      <c r="D16" s="9" t="s">
        <v>26</v>
      </c>
      <c r="E16" s="8">
        <v>2</v>
      </c>
      <c r="F16" s="8">
        <v>482.17</v>
      </c>
      <c r="G16" s="8">
        <f t="shared" si="0"/>
        <v>964.34</v>
      </c>
      <c r="H16" s="8" t="s">
        <v>34</v>
      </c>
      <c r="I16" t="s">
        <v>23</v>
      </c>
    </row>
    <row r="18" spans="8:8">
      <c r="H18" t="s">
        <v>24</v>
      </c>
    </row>
    <row r="19" spans="8:8">
      <c r="H19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nergiz</dc:creator>
  <cp:lastModifiedBy>Sabuhi</cp:lastModifiedBy>
  <dcterms:created xsi:type="dcterms:W3CDTF">2014-06-12T12:04:55Z</dcterms:created>
  <dcterms:modified xsi:type="dcterms:W3CDTF">2019-09-06T10:14:08Z</dcterms:modified>
</cp:coreProperties>
</file>